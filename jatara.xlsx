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27A34E6-FFBF-4480-9538-2261DE4AB111}" xr6:coauthVersionLast="47" xr6:coauthVersionMax="47" xr10:uidLastSave="{00000000-0000-0000-0000-000000000000}"/>
  <bookViews>
    <workbookView xWindow="3585" yWindow="3045" windowWidth="15375" windowHeight="7875" activeTab="4" xr2:uid="{4F9480BC-580C-475F-856C-63401ADD6D70}"/>
  </bookViews>
  <sheets>
    <sheet name="famous" sheetId="1" r:id="rId1"/>
    <sheet name="Sheet2" sheetId="2" r:id="rId2"/>
    <sheet name="Sheet1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</calcChain>
</file>

<file path=xl/sharedStrings.xml><?xml version="1.0" encoding="utf-8"?>
<sst xmlns="http://schemas.openxmlformats.org/spreadsheetml/2006/main" count="119" uniqueCount="81">
  <si>
    <t>Region</t>
  </si>
  <si>
    <t>Primary Deity</t>
  </si>
  <si>
    <t>Key Jatara / Festival</t>
  </si>
  <si>
    <t>Special Significance</t>
  </si>
  <si>
    <t>Hyderabad / Telangana</t>
  </si>
  <si>
    <t>Mahankali / Pochamma</t>
  </si>
  <si>
    <t>Bonalu</t>
  </si>
  <si>
    <r>
      <t xml:space="preserve">Pothuraju leads the </t>
    </r>
    <r>
      <rPr>
        <i/>
        <sz val="11"/>
        <color rgb="FF1F1F1F"/>
        <rFont val="Arial"/>
        <family val="2"/>
      </rPr>
      <t>Phalaharam Bandi</t>
    </r>
    <r>
      <rPr>
        <sz val="11"/>
        <color rgb="FF1F1F1F"/>
        <rFont val="Arial"/>
        <family val="2"/>
      </rPr>
      <t xml:space="preserve"> procession, dancing to the rhythm of the </t>
    </r>
    <r>
      <rPr>
        <i/>
        <sz val="11"/>
        <color rgb="FF1F1F1F"/>
        <rFont val="Arial"/>
        <family val="2"/>
      </rPr>
      <t>Thappeta</t>
    </r>
    <r>
      <rPr>
        <sz val="11"/>
        <color rgb="FF1F1F1F"/>
        <rFont val="Arial"/>
        <family val="2"/>
      </rPr>
      <t xml:space="preserve"> drums.</t>
    </r>
  </si>
  <si>
    <t>Rayalaseema (Tirupati)</t>
  </si>
  <si>
    <t>Gangamma</t>
  </si>
  <si>
    <t>Tirupati Ganga Jatara</t>
  </si>
  <si>
    <t>Famous for its various "Veshams" (guises). Pothuraju’s energy is vital for the final day’s rituals.</t>
  </si>
  <si>
    <t>Nellore / South Coast</t>
  </si>
  <si>
    <t>Poleramma</t>
  </si>
  <si>
    <t>Venkatagiri Poleramma Jatara</t>
  </si>
  <si>
    <t>A massive state festival where the goddess is "seated" outside the village to protect it.</t>
  </si>
  <si>
    <t>East/West Godavari</t>
  </si>
  <si>
    <t>Maridamma / Peddintamma</t>
  </si>
  <si>
    <t>Kakinada Maridamma Jatara</t>
  </si>
  <si>
    <t>One of the longest-running festivals in Andhra, featuring massive decorative chariots.</t>
  </si>
  <si>
    <t>Uttarandhra (Vizag)</t>
  </si>
  <si>
    <t>Nookalamma</t>
  </si>
  <si>
    <t>Anakapalle Nookalamma Jatara</t>
  </si>
  <si>
    <t>Held during the month of Phalguna; Pothuraju rituals here focus on the "Ambali" (gruel) offering.</t>
  </si>
  <si>
    <t>complet/not</t>
  </si>
  <si>
    <t>complete</t>
  </si>
  <si>
    <t>famo</t>
  </si>
  <si>
    <t>Sister (Grama Devatha)</t>
  </si>
  <si>
    <t>Famous Jatara / Location</t>
  </si>
  <si>
    <t>Specific Role</t>
  </si>
  <si>
    <t>Pochamma</t>
  </si>
  <si>
    <t>Celebrated in almost every Telangana village</t>
  </si>
  <si>
    <t>Goddess of Smallpox and overall village health.</t>
  </si>
  <si>
    <t>Maisamma</t>
  </si>
  <si>
    <t>Lower Tank Bund, Hyderabad</t>
  </si>
  <si>
    <t>Guardian of boundaries and water bodies (tanks/bunds).</t>
  </si>
  <si>
    <t>Yellamma</t>
  </si>
  <si>
    <t>Balkampet Yellamma Kalyanotsavam</t>
  </si>
  <si>
    <t>The "Mother of the Universe"; associated with the earth.</t>
  </si>
  <si>
    <t>Peddamma</t>
  </si>
  <si>
    <t>Jubilee Hills Peddamma Gudi</t>
  </si>
  <si>
    <t>The "Supreme Mother" who oversees all other sisters.</t>
  </si>
  <si>
    <t>Mahankali</t>
  </si>
  <si>
    <t>Ujjaini Mahankali (Secunderabad)</t>
  </si>
  <si>
    <t>The fierce protector; her Jatara is the peak of Bonalu.</t>
  </si>
  <si>
    <t>complete/not</t>
  </si>
  <si>
    <t>Jatara</t>
  </si>
  <si>
    <t>Visakhapatnam / Uttarandhra</t>
  </si>
  <si>
    <t>Maridamma</t>
  </si>
  <si>
    <t>East Godavari</t>
  </si>
  <si>
    <t>Mutyalamma</t>
  </si>
  <si>
    <t>Mutyalamma Jatara (Various locations)</t>
  </si>
  <si>
    <t>Vijayawada / Krishna</t>
  </si>
  <si>
    <t>Nellore (State Festival status)</t>
  </si>
  <si>
    <t>Gollammaramma</t>
  </si>
  <si>
    <t>Bhimavaram Gollammaramma Jatara</t>
  </si>
  <si>
    <t>West Godavari</t>
  </si>
  <si>
    <t>Pydithalli Ammavaru</t>
  </si>
  <si>
    <t>Sirimanotsavam (Vizianagaram)</t>
  </si>
  <si>
    <t>Vizianagaram</t>
  </si>
  <si>
    <t>Key Highlight</t>
  </si>
  <si>
    <t>Tirupati Thathaya Gunta Gangamma</t>
  </si>
  <si>
    <t>The sister of Lord Venkateswara; Pothuraju leads the "Ganga Jatara."</t>
  </si>
  <si>
    <t>Ankamma</t>
  </si>
  <si>
    <t>Ankamma Kolupu (Various villages)</t>
  </si>
  <si>
    <t>Worshipped with "Ankamma Kathas" (stories) and fierce Pothuraju dances.</t>
  </si>
  <si>
    <t>Eswaramma</t>
  </si>
  <si>
    <t>Kandimallayapalle (Brahmamgari Matam)</t>
  </si>
  <si>
    <t>Associated with the lineage of Veera Brahmendra Swamy.</t>
  </si>
  <si>
    <t>Bangaramma</t>
  </si>
  <si>
    <t>Goddess of gold/wealth</t>
  </si>
  <si>
    <t>Nagamma</t>
  </si>
  <si>
    <t>Serpent goddess</t>
  </si>
  <si>
    <t>Somulamma</t>
  </si>
  <si>
    <t>Goddess of cattle</t>
  </si>
  <si>
    <t>Erukulamma</t>
  </si>
  <si>
    <t>Goddess of knowledge/prediction</t>
  </si>
  <si>
    <t>ss</t>
  </si>
  <si>
    <t>visakapatnam/jatara</t>
  </si>
  <si>
    <t>telangana&amp;andhra/jatara</t>
  </si>
  <si>
    <t>rajahmundry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</si>
</sst>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2"/>
      <color rgb="FF1F1F1F"/>
      <name val="Arial"/>
      <family val="2"/>
    </font>
    <font>
      <sz val="13"/>
      <color rgb="FF1F1F1F"/>
      <name val="Arial"/>
      <family val="2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right" vertical="center" wrapText="1" indent="1" readingOrder="1"/>
    </xf>
    <xf numFmtId="0" fontId="4" fillId="0" borderId="3" xfId="0" applyFont="1" applyBorder="1" applyAlignment="1">
      <alignment horizontal="right" vertical="center" wrapText="1" indent="1" readingOrder="1"/>
    </xf>
    <xf numFmtId="0" fontId="4" fillId="0" borderId="4" xfId="0" applyFont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5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4F4E-3E3B-47F9-956D-186898DB8D9F}">
  <dimension ref="A1:E6"/>
  <sheetViews>
    <sheetView workbookViewId="0">
      <selection activeCell="E2" sqref="E2"/>
    </sheetView>
  </sheetViews>
  <sheetFormatPr defaultRowHeight="15" x14ac:dyDescent="0.25"/>
  <cols>
    <col min="2" max="2" width="14.42578125" bestFit="1" customWidth="1"/>
    <col min="3" max="3" width="15" customWidth="1"/>
    <col min="4" max="4" width="21.85546875" bestFit="1" customWidth="1"/>
    <col min="5" max="5" width="9" bestFit="1" customWidth="1"/>
  </cols>
  <sheetData>
    <row r="1" spans="1:5" ht="30.75" thickBot="1" x14ac:dyDescent="0.3">
      <c r="A1" s="4" t="s">
        <v>0</v>
      </c>
      <c r="B1" s="4" t="s">
        <v>1</v>
      </c>
      <c r="C1" s="4" t="s">
        <v>2</v>
      </c>
      <c r="D1" s="2" t="s">
        <v>3</v>
      </c>
      <c r="E1" s="5" t="s">
        <v>24</v>
      </c>
    </row>
    <row r="2" spans="1:5" ht="72" thickBot="1" x14ac:dyDescent="0.3">
      <c r="A2" s="1" t="s">
        <v>4</v>
      </c>
      <c r="B2" s="1" t="s">
        <v>5</v>
      </c>
      <c r="C2" s="1" t="s">
        <v>6</v>
      </c>
      <c r="D2" s="3" t="s">
        <v>7</v>
      </c>
      <c r="E2" s="6" t="s">
        <v>26</v>
      </c>
    </row>
    <row r="3" spans="1:5" ht="72" thickBot="1" x14ac:dyDescent="0.3">
      <c r="A3" s="1" t="s">
        <v>8</v>
      </c>
      <c r="B3" s="1" t="s">
        <v>9</v>
      </c>
      <c r="C3" s="1" t="s">
        <v>10</v>
      </c>
      <c r="D3" s="3" t="s">
        <v>11</v>
      </c>
      <c r="E3" s="6" t="s">
        <v>25</v>
      </c>
    </row>
    <row r="4" spans="1:5" ht="72" thickBot="1" x14ac:dyDescent="0.3">
      <c r="A4" s="1" t="s">
        <v>12</v>
      </c>
      <c r="B4" s="1" t="s">
        <v>13</v>
      </c>
      <c r="C4" s="1" t="s">
        <v>14</v>
      </c>
      <c r="D4" s="3" t="s">
        <v>15</v>
      </c>
      <c r="E4" s="6" t="s">
        <v>25</v>
      </c>
    </row>
    <row r="5" spans="1:5" ht="72" thickBot="1" x14ac:dyDescent="0.3">
      <c r="A5" s="1" t="s">
        <v>16</v>
      </c>
      <c r="B5" s="1" t="s">
        <v>17</v>
      </c>
      <c r="C5" s="1" t="s">
        <v>18</v>
      </c>
      <c r="D5" s="3" t="s">
        <v>19</v>
      </c>
      <c r="E5" s="6" t="s">
        <v>25</v>
      </c>
    </row>
    <row r="6" spans="1:5" ht="72" thickBot="1" x14ac:dyDescent="0.3">
      <c r="A6" s="1" t="s">
        <v>20</v>
      </c>
      <c r="B6" s="1" t="s">
        <v>21</v>
      </c>
      <c r="C6" s="1" t="s">
        <v>22</v>
      </c>
      <c r="D6" s="3" t="s">
        <v>23</v>
      </c>
      <c r="E6" s="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5F7-D58D-4E2F-87DB-D20A8A27A4F1}">
  <dimension ref="A1:E6"/>
  <sheetViews>
    <sheetView topLeftCell="A4" workbookViewId="0">
      <selection activeCell="E2" sqref="E2"/>
    </sheetView>
  </sheetViews>
  <sheetFormatPr defaultRowHeight="15" x14ac:dyDescent="0.25"/>
  <cols>
    <col min="1" max="1" width="17.5703125" customWidth="1"/>
    <col min="2" max="2" width="18.7109375" customWidth="1"/>
    <col min="3" max="3" width="20.140625" customWidth="1"/>
    <col min="4" max="4" width="21.7109375" customWidth="1"/>
  </cols>
  <sheetData>
    <row r="1" spans="1:5" ht="30.75" thickBot="1" x14ac:dyDescent="0.3">
      <c r="A1" s="7" t="s">
        <v>27</v>
      </c>
      <c r="B1" s="7" t="s">
        <v>28</v>
      </c>
      <c r="C1" s="2" t="s">
        <v>29</v>
      </c>
      <c r="D1" s="2" t="s">
        <v>46</v>
      </c>
      <c r="E1" s="2" t="s">
        <v>45</v>
      </c>
    </row>
    <row r="2" spans="1:5" ht="68.25" customHeight="1" thickBot="1" x14ac:dyDescent="0.3">
      <c r="A2" s="7" t="s">
        <v>30</v>
      </c>
      <c r="B2" s="7" t="s">
        <v>31</v>
      </c>
      <c r="C2" s="3" t="s">
        <v>32</v>
      </c>
      <c r="D2" s="7" t="str">
        <f>_xlfn.CONCAT($A2,"jatara")</f>
        <v>Pochammajatara</v>
      </c>
      <c r="E2" t="s">
        <v>25</v>
      </c>
    </row>
    <row r="3" spans="1:5" ht="57.75" thickBot="1" x14ac:dyDescent="0.3">
      <c r="A3" s="7" t="s">
        <v>33</v>
      </c>
      <c r="B3" s="7" t="s">
        <v>34</v>
      </c>
      <c r="C3" s="3" t="s">
        <v>35</v>
      </c>
      <c r="D3" s="7" t="str">
        <f t="shared" ref="D3:D6" si="0">_xlfn.CONCAT($A3,"jatara")</f>
        <v>Maisammajatara</v>
      </c>
      <c r="E3" t="s">
        <v>25</v>
      </c>
    </row>
    <row r="4" spans="1:5" ht="62.25" customHeight="1" thickBot="1" x14ac:dyDescent="0.3">
      <c r="A4" s="7" t="s">
        <v>36</v>
      </c>
      <c r="B4" s="7" t="s">
        <v>37</v>
      </c>
      <c r="C4" s="3" t="s">
        <v>38</v>
      </c>
      <c r="D4" s="7" t="str">
        <f t="shared" si="0"/>
        <v>Yellammajatara</v>
      </c>
      <c r="E4" t="s">
        <v>25</v>
      </c>
    </row>
    <row r="5" spans="1:5" ht="64.5" customHeight="1" thickBot="1" x14ac:dyDescent="0.3">
      <c r="A5" s="7" t="s">
        <v>39</v>
      </c>
      <c r="B5" s="7" t="s">
        <v>40</v>
      </c>
      <c r="C5" s="3" t="s">
        <v>41</v>
      </c>
      <c r="D5" s="7" t="str">
        <f t="shared" si="0"/>
        <v>Peddammajatara</v>
      </c>
      <c r="E5" t="s">
        <v>25</v>
      </c>
    </row>
    <row r="6" spans="1:5" ht="45.75" thickBot="1" x14ac:dyDescent="0.3">
      <c r="A6" s="7" t="s">
        <v>42</v>
      </c>
      <c r="B6" s="7" t="s">
        <v>43</v>
      </c>
      <c r="C6" s="3" t="s">
        <v>44</v>
      </c>
      <c r="D6" s="7" t="str">
        <f t="shared" si="0"/>
        <v>Mahankalijatara</v>
      </c>
      <c r="E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109A-7312-4D3D-ACAD-291165B84AC8}">
  <dimension ref="A1:D7"/>
  <sheetViews>
    <sheetView zoomScale="85" zoomScaleNormal="85" workbookViewId="0">
      <selection activeCell="D5" sqref="D5"/>
    </sheetView>
  </sheetViews>
  <sheetFormatPr defaultRowHeight="15" x14ac:dyDescent="0.25"/>
  <cols>
    <col min="1" max="1" width="26.42578125" bestFit="1" customWidth="1"/>
    <col min="2" max="2" width="27.85546875" bestFit="1" customWidth="1"/>
    <col min="3" max="3" width="13.28515625" bestFit="1" customWidth="1"/>
    <col min="4" max="4" width="15" customWidth="1"/>
  </cols>
  <sheetData>
    <row r="1" spans="1:4" ht="32.25" thickBot="1" x14ac:dyDescent="0.3">
      <c r="A1" s="10" t="s">
        <v>27</v>
      </c>
      <c r="B1" s="10" t="s">
        <v>28</v>
      </c>
      <c r="C1" s="10" t="s">
        <v>0</v>
      </c>
      <c r="D1" s="11" t="s">
        <v>45</v>
      </c>
    </row>
    <row r="2" spans="1:4" ht="54" customHeight="1" thickBot="1" x14ac:dyDescent="0.3">
      <c r="A2" s="8" t="s">
        <v>21</v>
      </c>
      <c r="B2" s="8" t="s">
        <v>22</v>
      </c>
      <c r="C2" s="9" t="s">
        <v>47</v>
      </c>
      <c r="D2" t="s">
        <v>25</v>
      </c>
    </row>
    <row r="3" spans="1:4" ht="63.75" customHeight="1" thickBot="1" x14ac:dyDescent="0.3">
      <c r="A3" s="8" t="s">
        <v>48</v>
      </c>
      <c r="B3" s="8" t="s">
        <v>18</v>
      </c>
      <c r="C3" s="9" t="s">
        <v>49</v>
      </c>
      <c r="D3" t="s">
        <v>25</v>
      </c>
    </row>
    <row r="4" spans="1:4" ht="45" customHeight="1" thickBot="1" x14ac:dyDescent="0.3">
      <c r="A4" s="8" t="s">
        <v>50</v>
      </c>
      <c r="B4" s="8" t="s">
        <v>51</v>
      </c>
      <c r="C4" s="9" t="s">
        <v>52</v>
      </c>
      <c r="D4" t="s">
        <v>25</v>
      </c>
    </row>
    <row r="5" spans="1:4" ht="57" customHeight="1" thickBot="1" x14ac:dyDescent="0.3">
      <c r="A5" s="8" t="s">
        <v>13</v>
      </c>
      <c r="B5" s="8" t="s">
        <v>14</v>
      </c>
      <c r="C5" s="9" t="s">
        <v>53</v>
      </c>
      <c r="D5" t="s">
        <v>25</v>
      </c>
    </row>
    <row r="6" spans="1:4" ht="30.75" thickBot="1" x14ac:dyDescent="0.3">
      <c r="A6" s="8" t="s">
        <v>54</v>
      </c>
      <c r="B6" s="8" t="s">
        <v>55</v>
      </c>
      <c r="C6" s="9" t="s">
        <v>56</v>
      </c>
      <c r="D6" t="s">
        <v>25</v>
      </c>
    </row>
    <row r="7" spans="1:4" ht="43.5" customHeight="1" thickBot="1" x14ac:dyDescent="0.3">
      <c r="A7" s="8" t="s">
        <v>57</v>
      </c>
      <c r="B7" s="8" t="s">
        <v>58</v>
      </c>
      <c r="C7" s="9" t="s">
        <v>59</v>
      </c>
      <c r="D7" t="s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C7E4-19C8-4B99-ABB6-72A6B06F5BDF}">
  <dimension ref="A1:D4"/>
  <sheetViews>
    <sheetView topLeftCell="A3" workbookViewId="0">
      <selection activeCell="D3" sqref="D3:D4"/>
    </sheetView>
  </sheetViews>
  <sheetFormatPr defaultRowHeight="15" x14ac:dyDescent="0.25"/>
  <cols>
    <col min="1" max="1" width="16.140625" customWidth="1"/>
    <col min="2" max="2" width="17.42578125" customWidth="1"/>
    <col min="3" max="3" width="18.7109375" customWidth="1"/>
  </cols>
  <sheetData>
    <row r="1" spans="1:4" ht="45.75" thickBot="1" x14ac:dyDescent="0.3">
      <c r="A1" s="12" t="s">
        <v>77</v>
      </c>
      <c r="B1" s="12" t="s">
        <v>28</v>
      </c>
      <c r="C1" s="12" t="s">
        <v>60</v>
      </c>
      <c r="D1" s="14" t="s">
        <v>45</v>
      </c>
    </row>
    <row r="2" spans="1:4" ht="99.75" customHeight="1" thickBot="1" x14ac:dyDescent="0.3">
      <c r="A2" s="12" t="s">
        <v>9</v>
      </c>
      <c r="B2" s="12" t="s">
        <v>61</v>
      </c>
      <c r="C2" s="13" t="s">
        <v>62</v>
      </c>
      <c r="D2" t="s">
        <v>25</v>
      </c>
    </row>
    <row r="3" spans="1:4" ht="118.5" customHeight="1" thickBot="1" x14ac:dyDescent="0.3">
      <c r="A3" s="12" t="s">
        <v>63</v>
      </c>
      <c r="B3" s="12" t="s">
        <v>64</v>
      </c>
      <c r="C3" s="13" t="s">
        <v>65</v>
      </c>
      <c r="D3" t="s">
        <v>25</v>
      </c>
    </row>
    <row r="4" spans="1:4" ht="117" customHeight="1" thickBot="1" x14ac:dyDescent="0.3">
      <c r="A4" s="12" t="s">
        <v>66</v>
      </c>
      <c r="B4" s="12" t="s">
        <v>67</v>
      </c>
      <c r="C4" s="13" t="s">
        <v>68</v>
      </c>
      <c r="D4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012D-276B-47AB-9977-F16A54796995}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15.140625" customWidth="1"/>
    <col min="2" max="2" width="13.5703125" customWidth="1"/>
    <col min="3" max="3" width="13.85546875" customWidth="1"/>
    <col min="4" max="4" width="12.7109375" customWidth="1"/>
  </cols>
  <sheetData>
    <row r="1" spans="1:4" ht="45.75" thickBot="1" x14ac:dyDescent="0.3">
      <c r="A1" s="12" t="s">
        <v>27</v>
      </c>
      <c r="B1" s="12" t="s">
        <v>28</v>
      </c>
      <c r="C1" s="12" t="s">
        <v>60</v>
      </c>
      <c r="D1" s="14" t="s">
        <v>45</v>
      </c>
    </row>
    <row r="2" spans="1:4" ht="45.75" customHeight="1" x14ac:dyDescent="0.25">
      <c r="A2" s="15" t="s">
        <v>69</v>
      </c>
      <c r="B2" s="17" t="s">
        <v>78</v>
      </c>
      <c r="C2" s="16" t="s">
        <v>70</v>
      </c>
      <c r="D2" t="s">
        <v>25</v>
      </c>
    </row>
    <row r="3" spans="1:4" ht="33" x14ac:dyDescent="0.25">
      <c r="A3" s="15" t="s">
        <v>71</v>
      </c>
      <c r="B3" s="17" t="s">
        <v>79</v>
      </c>
      <c r="C3" s="16" t="s">
        <v>72</v>
      </c>
      <c r="D3" t="s">
        <v>25</v>
      </c>
    </row>
    <row r="4" spans="1:4" ht="32.25" customHeight="1" x14ac:dyDescent="0.25">
      <c r="A4" s="15" t="s">
        <v>73</v>
      </c>
      <c r="B4" t="s">
        <v>80</v>
      </c>
      <c r="C4" s="16" t="s">
        <v>74</v>
      </c>
      <c r="D4" t="s">
        <v>25</v>
      </c>
    </row>
    <row r="5" spans="1:4" ht="46.5" customHeight="1" x14ac:dyDescent="0.25">
      <c r="A5" s="15" t="s">
        <v>75</v>
      </c>
      <c r="B5" s="17" t="s">
        <v>79</v>
      </c>
      <c r="C5" s="16" t="s">
        <v>76</v>
      </c>
      <c r="D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7EC6D169B1D4392AF0C9F79A00819" ma:contentTypeVersion="5" ma:contentTypeDescription="Create a new document." ma:contentTypeScope="" ma:versionID="378803918c505f094b1b8a8045389e7a">
  <xsd:schema xmlns:xsd="http://www.w3.org/2001/XMLSchema" xmlns:xs="http://www.w3.org/2001/XMLSchema" xmlns:p="http://schemas.microsoft.com/office/2006/metadata/properties" xmlns:ns3="c08e4eb3-e42f-49b8-8357-5e6d21a6b91d" targetNamespace="http://schemas.microsoft.com/office/2006/metadata/properties" ma:root="true" ma:fieldsID="070136a00cd647495c1ec37cbd507d7e" ns3:_="">
    <xsd:import namespace="c08e4eb3-e42f-49b8-8357-5e6d21a6b9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e4eb3-e42f-49b8-8357-5e6d21a6b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146D90-401D-4C6F-8407-B81656EE61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7CDDFD-A6D8-4EF3-B545-A7C4C0C7F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8e4eb3-e42f-49b8-8357-5e6d21a6b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B087C8-772B-4EDC-883F-6ED9E8621AF2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c08e4eb3-e42f-49b8-8357-5e6d21a6b91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famous</vt:lpstr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A7526</dc:creator>
  <cp:lastModifiedBy>A7526</cp:lastModifiedBy>
  <dcterms:created xsi:type="dcterms:W3CDTF">2026-05-18T10:00:36Z</dcterms:created>
  <dcterms:modified xsi:type="dcterms:W3CDTF">2026-06-02T09:08:41Z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0x010100A137EC6D169B1D4392AF0C9F79A00819</vt:lpwstr>
  </property>
</Properties>
</file>